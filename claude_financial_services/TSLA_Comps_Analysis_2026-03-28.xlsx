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A Comp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11"/>
    </font>
    <font>
      <i val="1"/>
      <sz val="10"/>
    </font>
    <font>
      <b val="1"/>
      <color rgb="00FFFFFF"/>
    </font>
    <font>
      <b val="1"/>
    </font>
    <font>
      <color rgb="000000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" borderId="0" pivotButton="0" quotePrefix="0" xfId="0"/>
    <xf numFmtId="0" fontId="5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4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Source</author>
  </authors>
  <commentList>
    <comment ref="B8" authorId="0" shapeId="0">
      <text>
        <t>Tesla FY2025 10-K, SEC EDGAR</t>
      </text>
    </comment>
    <comment ref="B9" authorId="0" shapeId="0">
      <text>
        <t>BYD FY2025 (CNY@7.2)</t>
      </text>
    </comment>
    <comment ref="B10" authorId="0" shapeId="0">
      <text>
        <t>Rivian Q4 2025 Release</t>
      </text>
    </comment>
    <comment ref="B11" authorId="0" shapeId="0">
      <text>
        <t>Lucid Q4 2025 Results</t>
      </text>
    </comment>
    <comment ref="B12" authorId="0" shapeId="0">
      <text>
        <t>Ford 2025 10-K</t>
      </text>
    </comment>
    <comment ref="B13" authorId="0" shapeId="0">
      <text>
        <t>GM 2025 10-K</t>
      </text>
    </comment>
    <comment ref="E24" authorId="0" shapeId="0">
      <text>
        <t>Tesla 10-K: Net Cash (negative debt)</t>
      </text>
    </comment>
    <comment ref="E28" authorId="0" shapeId="0">
      <text>
        <t>Ford Credit captive finance debt included</t>
      </text>
    </comment>
    <comment ref="E29" authorId="0" shapeId="0">
      <text>
        <t>GM Financial captive finance debt included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EV/AUTOMOTIVE — COMPARABLE COMPANY ANALYSIS</t>
        </is>
      </c>
    </row>
    <row r="2" ht="20" customHeight="1">
      <c r="A2" s="2" t="inlineStr">
        <is>
          <t>Tesla (TSLA) • BYD • Rivian (RIVN) • Lucid (LCID) • Ford (F) • GM</t>
        </is>
      </c>
    </row>
    <row r="3" ht="20" customHeight="1">
      <c r="A3" s="3" t="inlineStr">
        <is>
          <t>As of March 2026 | USD Millions | Data: Yahoo Finance, SEC Filings</t>
        </is>
      </c>
    </row>
    <row r="4" ht="20" customHeight="1"/>
    <row r="5" ht="20" customHeight="1">
      <c r="A5" s="4" t="inlineStr">
        <is>
          <t>OPERATING STATISTICS &amp; FINANCIAL METRICS</t>
        </is>
      </c>
    </row>
    <row r="6" ht="20" customHeight="1">
      <c r="A6" s="5" t="inlineStr">
        <is>
          <t>Company</t>
        </is>
      </c>
      <c r="B6" s="5" t="inlineStr">
        <is>
          <t>Revenue</t>
        </is>
      </c>
      <c r="C6" s="5" t="inlineStr">
        <is>
          <t>Rev Growth</t>
        </is>
      </c>
      <c r="D6" s="5" t="inlineStr">
        <is>
          <t>Gross Profit</t>
        </is>
      </c>
      <c r="E6" s="5" t="inlineStr">
        <is>
          <t>Gross Margin</t>
        </is>
      </c>
      <c r="F6" s="5" t="inlineStr">
        <is>
          <t>EBITDA</t>
        </is>
      </c>
      <c r="G6" s="5" t="inlineStr">
        <is>
          <t>EBITDA Margin</t>
        </is>
      </c>
      <c r="H6" s="5" t="inlineStr">
        <is>
          <t>Net Income</t>
        </is>
      </c>
      <c r="I6" s="5" t="inlineStr">
        <is>
          <t>Net Margin</t>
        </is>
      </c>
      <c r="J6" s="5" t="inlineStr">
        <is>
          <t>Deliveries(K)</t>
        </is>
      </c>
      <c r="K6" s="5" t="inlineStr">
        <is>
          <t>Auto GM</t>
        </is>
      </c>
      <c r="L6" s="5" t="inlineStr">
        <is>
          <t>FCF</t>
        </is>
      </c>
    </row>
    <row r="7" ht="20" customHeight="1"/>
    <row r="8" ht="20" customHeight="1">
      <c r="A8" s="6" t="inlineStr">
        <is>
          <t>TSLA</t>
        </is>
      </c>
      <c r="B8" s="7" t="n">
        <v>94830</v>
      </c>
      <c r="C8" s="8" t="n">
        <v>-0.029</v>
      </c>
      <c r="D8" s="7" t="n">
        <v>17074</v>
      </c>
      <c r="E8" s="9">
        <f>D8/B8</f>
        <v/>
      </c>
      <c r="F8" s="7" t="n">
        <v>11760</v>
      </c>
      <c r="G8" s="9">
        <f>F8/B8</f>
        <v/>
      </c>
      <c r="H8" s="7" t="n">
        <v>3790</v>
      </c>
      <c r="I8" s="9">
        <f>H8/B8</f>
        <v/>
      </c>
      <c r="J8" s="7" t="n">
        <v>1780</v>
      </c>
      <c r="K8" s="8" t="n">
        <v>0.18</v>
      </c>
      <c r="L8" s="7" t="n">
        <v>6220</v>
      </c>
    </row>
    <row r="9" ht="20" customHeight="1">
      <c r="A9" s="6" t="inlineStr">
        <is>
          <t>BYD</t>
        </is>
      </c>
      <c r="B9" s="7" t="n">
        <v>117840</v>
      </c>
      <c r="C9" s="8" t="n">
        <v>0.233</v>
      </c>
      <c r="D9" s="7" t="n">
        <v>21400</v>
      </c>
      <c r="E9" s="9">
        <f>D9/B9</f>
        <v/>
      </c>
      <c r="F9" s="7" t="n">
        <v>15000</v>
      </c>
      <c r="G9" s="9">
        <f>F9/B9</f>
        <v/>
      </c>
      <c r="H9" s="7" t="n">
        <v>5100</v>
      </c>
      <c r="I9" s="9">
        <f>H9/B9</f>
        <v/>
      </c>
      <c r="J9" s="7" t="n">
        <v>4160</v>
      </c>
      <c r="K9" s="8" t="n">
        <v>0.17</v>
      </c>
      <c r="L9" s="7" t="n">
        <v>8500</v>
      </c>
    </row>
    <row r="10" ht="20" customHeight="1">
      <c r="A10" s="6" t="inlineStr">
        <is>
          <t>RIVN</t>
        </is>
      </c>
      <c r="B10" s="7" t="n">
        <v>5390</v>
      </c>
      <c r="C10" s="8" t="n">
        <v>0.08400000000000001</v>
      </c>
      <c r="D10" s="7" t="n">
        <v>144</v>
      </c>
      <c r="E10" s="9">
        <f>D10/B10</f>
        <v/>
      </c>
      <c r="F10" s="7" t="n">
        <v>-2562</v>
      </c>
      <c r="G10" s="9">
        <f>F10/B10</f>
        <v/>
      </c>
      <c r="H10" s="7" t="n">
        <v>-4800</v>
      </c>
      <c r="I10" s="9">
        <f>H10/B10</f>
        <v/>
      </c>
      <c r="J10" s="7" t="n">
        <v>62</v>
      </c>
      <c r="K10" s="8" t="n">
        <v>0.027</v>
      </c>
      <c r="L10" s="7" t="n">
        <v>-3200</v>
      </c>
    </row>
    <row r="11" ht="20" customHeight="1">
      <c r="A11" s="6" t="inlineStr">
        <is>
          <t>LCID</t>
        </is>
      </c>
      <c r="B11" s="7" t="n">
        <v>1354</v>
      </c>
      <c r="C11" s="8" t="n">
        <v>0.68</v>
      </c>
      <c r="D11" s="7" t="n">
        <v>-650</v>
      </c>
      <c r="E11" s="9">
        <f>D11/B11</f>
        <v/>
      </c>
      <c r="F11" s="7" t="n">
        <v>-2800</v>
      </c>
      <c r="G11" s="9">
        <f>F11/B11</f>
        <v/>
      </c>
      <c r="H11" s="7" t="n">
        <v>-3900</v>
      </c>
      <c r="I11" s="9">
        <f>H11/B11</f>
        <v/>
      </c>
      <c r="J11" s="7" t="n">
        <v>16</v>
      </c>
      <c r="K11" s="8" t="n">
        <v>-0.48</v>
      </c>
      <c r="L11" s="7" t="n">
        <v>-2500</v>
      </c>
    </row>
    <row r="12" ht="20" customHeight="1">
      <c r="A12" s="6" t="inlineStr">
        <is>
          <t>F</t>
        </is>
      </c>
      <c r="B12" s="7" t="n">
        <v>187267</v>
      </c>
      <c r="C12" s="8" t="n">
        <v>0.012</v>
      </c>
      <c r="D12" s="7" t="n">
        <v>12500</v>
      </c>
      <c r="E12" s="9">
        <f>D12/B12</f>
        <v/>
      </c>
      <c r="F12" s="7" t="n">
        <v>4560</v>
      </c>
      <c r="G12" s="9">
        <f>F12/B12</f>
        <v/>
      </c>
      <c r="H12" s="7" t="n">
        <v>-8180</v>
      </c>
      <c r="I12" s="9">
        <f>H12/B12</f>
        <v/>
      </c>
      <c r="J12" s="7" t="n">
        <v>4100</v>
      </c>
      <c r="K12" s="8" t="n">
        <v>0.067</v>
      </c>
      <c r="L12" s="7" t="n">
        <v>5800</v>
      </c>
    </row>
    <row r="13" ht="20" customHeight="1">
      <c r="A13" s="6" t="inlineStr">
        <is>
          <t>GM</t>
        </is>
      </c>
      <c r="B13" s="7" t="n">
        <v>185019</v>
      </c>
      <c r="C13" s="8" t="n">
        <v>-0.013</v>
      </c>
      <c r="D13" s="7" t="n">
        <v>18500</v>
      </c>
      <c r="E13" s="9">
        <f>D13/B13</f>
        <v/>
      </c>
      <c r="F13" s="7" t="n">
        <v>17497</v>
      </c>
      <c r="G13" s="9">
        <f>F13/B13</f>
        <v/>
      </c>
      <c r="H13" s="7" t="n">
        <v>2700</v>
      </c>
      <c r="I13" s="9">
        <f>H13/B13</f>
        <v/>
      </c>
      <c r="J13" s="7" t="n">
        <v>5900</v>
      </c>
      <c r="K13" s="8" t="n">
        <v>0.1</v>
      </c>
      <c r="L13" s="7" t="n">
        <v>12500</v>
      </c>
    </row>
    <row r="14" ht="20" customHeight="1"/>
    <row r="15" ht="20" customHeight="1">
      <c r="A15" s="10" t="inlineStr">
        <is>
          <t>Maximum</t>
        </is>
      </c>
      <c r="B15" s="11" t="inlineStr">
        <is>
          <t>-</t>
        </is>
      </c>
      <c r="C15" s="12">
        <f>MAX(C8:C13)</f>
        <v/>
      </c>
      <c r="D15" s="11" t="inlineStr">
        <is>
          <t>-</t>
        </is>
      </c>
      <c r="E15" s="12">
        <f>MAX(E8:E13)</f>
        <v/>
      </c>
      <c r="F15" s="11" t="inlineStr">
        <is>
          <t>-</t>
        </is>
      </c>
      <c r="G15" s="12">
        <f>MAX(G8:G13)</f>
        <v/>
      </c>
      <c r="H15" s="11" t="inlineStr">
        <is>
          <t>-</t>
        </is>
      </c>
      <c r="I15" s="12">
        <f>MAX(I8:I13)</f>
        <v/>
      </c>
      <c r="J15" s="11">
        <f>MAX(J8:J13)</f>
        <v/>
      </c>
      <c r="K15" s="12">
        <f>MAX(K8:K13)</f>
        <v/>
      </c>
      <c r="L15" s="11" t="inlineStr">
        <is>
          <t>-</t>
        </is>
      </c>
    </row>
    <row r="16" ht="20" customHeight="1">
      <c r="A16" s="10" t="inlineStr">
        <is>
          <t>75th Percentile</t>
        </is>
      </c>
      <c r="B16" s="11" t="inlineStr">
        <is>
          <t>-</t>
        </is>
      </c>
      <c r="C16" s="12">
        <f>QUARTILE(C8:C13,3)</f>
        <v/>
      </c>
      <c r="D16" s="11" t="inlineStr">
        <is>
          <t>-</t>
        </is>
      </c>
      <c r="E16" s="12">
        <f>QUARTILE(E8:E13,3)</f>
        <v/>
      </c>
      <c r="F16" s="11" t="inlineStr">
        <is>
          <t>-</t>
        </is>
      </c>
      <c r="G16" s="12">
        <f>QUARTILE(G8:G13,3)</f>
        <v/>
      </c>
      <c r="H16" s="11" t="inlineStr">
        <is>
          <t>-</t>
        </is>
      </c>
      <c r="I16" s="12">
        <f>QUARTILE(I8:I13,3)</f>
        <v/>
      </c>
      <c r="J16" s="11">
        <f>QUARTILE(J8:J13,3)</f>
        <v/>
      </c>
      <c r="K16" s="12">
        <f>QUARTILE(K8:K13,3)</f>
        <v/>
      </c>
      <c r="L16" s="11" t="inlineStr">
        <is>
          <t>-</t>
        </is>
      </c>
    </row>
    <row r="17" ht="20" customHeight="1">
      <c r="A17" s="10" t="inlineStr">
        <is>
          <t>Median</t>
        </is>
      </c>
      <c r="B17" s="11" t="inlineStr">
        <is>
          <t>-</t>
        </is>
      </c>
      <c r="C17" s="12">
        <f>MEDIAN(C8:C13)</f>
        <v/>
      </c>
      <c r="D17" s="11" t="inlineStr">
        <is>
          <t>-</t>
        </is>
      </c>
      <c r="E17" s="12">
        <f>MEDIAN(E8:E13)</f>
        <v/>
      </c>
      <c r="F17" s="11" t="inlineStr">
        <is>
          <t>-</t>
        </is>
      </c>
      <c r="G17" s="12">
        <f>MEDIAN(G8:G13)</f>
        <v/>
      </c>
      <c r="H17" s="11" t="inlineStr">
        <is>
          <t>-</t>
        </is>
      </c>
      <c r="I17" s="12">
        <f>MEDIAN(I8:I13)</f>
        <v/>
      </c>
      <c r="J17" s="11">
        <f>MEDIAN(J8:J13)</f>
        <v/>
      </c>
      <c r="K17" s="12">
        <f>MEDIAN(K8:K13)</f>
        <v/>
      </c>
      <c r="L17" s="11" t="inlineStr">
        <is>
          <t>-</t>
        </is>
      </c>
    </row>
    <row r="18" ht="20" customHeight="1">
      <c r="A18" s="10" t="inlineStr">
        <is>
          <t>25th Percentile</t>
        </is>
      </c>
      <c r="B18" s="11" t="inlineStr">
        <is>
          <t>-</t>
        </is>
      </c>
      <c r="C18" s="12">
        <f>QUARTILE(C8:C13,1)</f>
        <v/>
      </c>
      <c r="D18" s="11" t="inlineStr">
        <is>
          <t>-</t>
        </is>
      </c>
      <c r="E18" s="12">
        <f>QUARTILE(E8:E13,1)</f>
        <v/>
      </c>
      <c r="F18" s="11" t="inlineStr">
        <is>
          <t>-</t>
        </is>
      </c>
      <c r="G18" s="12">
        <f>QUARTILE(G8:G13,1)</f>
        <v/>
      </c>
      <c r="H18" s="11" t="inlineStr">
        <is>
          <t>-</t>
        </is>
      </c>
      <c r="I18" s="12">
        <f>QUARTILE(I8:I13,1)</f>
        <v/>
      </c>
      <c r="J18" s="11">
        <f>QUARTILE(J8:J13,1)</f>
        <v/>
      </c>
      <c r="K18" s="12">
        <f>QUARTILE(K8:K13,1)</f>
        <v/>
      </c>
      <c r="L18" s="11" t="inlineStr">
        <is>
          <t>-</t>
        </is>
      </c>
    </row>
    <row r="19" ht="20" customHeight="1">
      <c r="A19" s="10" t="inlineStr">
        <is>
          <t>Minimum</t>
        </is>
      </c>
      <c r="B19" s="11" t="inlineStr">
        <is>
          <t>-</t>
        </is>
      </c>
      <c r="C19" s="12">
        <f>MIN(C8:C13)</f>
        <v/>
      </c>
      <c r="D19" s="11" t="inlineStr">
        <is>
          <t>-</t>
        </is>
      </c>
      <c r="E19" s="12">
        <f>MIN(E8:E13)</f>
        <v/>
      </c>
      <c r="F19" s="11" t="inlineStr">
        <is>
          <t>-</t>
        </is>
      </c>
      <c r="G19" s="12">
        <f>MIN(G8:G13)</f>
        <v/>
      </c>
      <c r="H19" s="11" t="inlineStr">
        <is>
          <t>-</t>
        </is>
      </c>
      <c r="I19" s="12">
        <f>MIN(I8:I13)</f>
        <v/>
      </c>
      <c r="J19" s="11">
        <f>MIN(J8:J13)</f>
        <v/>
      </c>
      <c r="K19" s="12">
        <f>MIN(K8:K13)</f>
        <v/>
      </c>
      <c r="L19" s="11" t="inlineStr">
        <is>
          <t>-</t>
        </is>
      </c>
    </row>
    <row r="20" ht="20" customHeight="1"/>
    <row r="21" ht="20" customHeight="1">
      <c r="A21" s="4" t="inlineStr">
        <is>
          <t>VALUATION MULTIPLES</t>
        </is>
      </c>
    </row>
    <row r="22" ht="20" customHeight="1">
      <c r="A22" s="5" t="inlineStr">
        <is>
          <t>Company</t>
        </is>
      </c>
      <c r="B22" s="5" t="inlineStr">
        <is>
          <t>Price($)</t>
        </is>
      </c>
      <c r="C22" s="5" t="inlineStr">
        <is>
          <t>Shares(M)</t>
        </is>
      </c>
      <c r="D22" s="5" t="inlineStr">
        <is>
          <t>Mkt Cap</t>
        </is>
      </c>
      <c r="E22" s="5" t="inlineStr">
        <is>
          <t>Net Debt</t>
        </is>
      </c>
      <c r="F22" s="5" t="inlineStr">
        <is>
          <t>EV</t>
        </is>
      </c>
      <c r="G22" s="5" t="inlineStr">
        <is>
          <t>EV/Rev</t>
        </is>
      </c>
      <c r="H22" s="5" t="inlineStr">
        <is>
          <t>EV/EBITDA</t>
        </is>
      </c>
      <c r="I22" s="5" t="inlineStr">
        <is>
          <t>P/E</t>
        </is>
      </c>
      <c r="J22" s="5" t="inlineStr">
        <is>
          <t>P/S</t>
        </is>
      </c>
      <c r="K22" s="5" t="inlineStr">
        <is>
          <t>P/B</t>
        </is>
      </c>
      <c r="L22" s="5" t="inlineStr">
        <is>
          <t>FCF Yield</t>
        </is>
      </c>
    </row>
    <row r="23" ht="20" customHeight="1"/>
    <row r="24" ht="20" customHeight="1">
      <c r="A24" s="6" t="inlineStr">
        <is>
          <t>TSLA</t>
        </is>
      </c>
      <c r="B24" s="13" t="n">
        <v>383</v>
      </c>
      <c r="C24" s="7" t="n">
        <v>3750</v>
      </c>
      <c r="D24" s="14">
        <f>B24*C24</f>
        <v/>
      </c>
      <c r="E24" s="7" t="n">
        <v>-29340</v>
      </c>
      <c r="F24" s="14">
        <f>D24+E24</f>
        <v/>
      </c>
      <c r="G24" s="15">
        <f>F24/B8</f>
        <v/>
      </c>
      <c r="H24" s="15">
        <f>F24/F8</f>
        <v/>
      </c>
      <c r="I24" s="16" t="n">
        <v>336.7</v>
      </c>
      <c r="J24" s="16" t="n">
        <v>14.3</v>
      </c>
      <c r="K24" s="16" t="n">
        <v>16.8</v>
      </c>
      <c r="L24" s="9">
        <f>L8/D24</f>
        <v/>
      </c>
    </row>
    <row r="25" ht="20" customHeight="1">
      <c r="A25" s="6" t="inlineStr">
        <is>
          <t>BYD</t>
        </is>
      </c>
      <c r="B25" s="13" t="n">
        <v>32.5</v>
      </c>
      <c r="C25" s="7" t="n">
        <v>3750</v>
      </c>
      <c r="D25" s="14">
        <f>B25*C25</f>
        <v/>
      </c>
      <c r="E25" s="7" t="n">
        <v>5000</v>
      </c>
      <c r="F25" s="14">
        <f>D25+E25</f>
        <v/>
      </c>
      <c r="G25" s="15">
        <f>F25/B9</f>
        <v/>
      </c>
      <c r="H25" s="15">
        <f>F25/F9</f>
        <v/>
      </c>
      <c r="I25" s="16" t="n">
        <v>21.9</v>
      </c>
      <c r="J25" s="16" t="n">
        <v>0.9</v>
      </c>
      <c r="K25" s="16" t="n">
        <v>3.5</v>
      </c>
      <c r="L25" s="9">
        <f>L9/D25</f>
        <v/>
      </c>
    </row>
    <row r="26" ht="20" customHeight="1">
      <c r="A26" s="6" t="inlineStr">
        <is>
          <t>RIVN</t>
        </is>
      </c>
      <c r="B26" s="13" t="n">
        <v>19.3</v>
      </c>
      <c r="C26" s="7" t="n">
        <v>1000</v>
      </c>
      <c r="D26" s="14">
        <f>B26*C26</f>
        <v/>
      </c>
      <c r="E26" s="7" t="n">
        <v>-750</v>
      </c>
      <c r="F26" s="14">
        <f>D26+E26</f>
        <v/>
      </c>
      <c r="G26" s="15">
        <f>F26/B10</f>
        <v/>
      </c>
      <c r="H26" s="17" t="inlineStr">
        <is>
          <t>N/A</t>
        </is>
      </c>
      <c r="I26" s="16" t="inlineStr">
        <is>
          <t>N/A</t>
        </is>
      </c>
      <c r="J26" s="16" t="n">
        <v>3.6</v>
      </c>
      <c r="K26" s="16" t="n">
        <v>2.1</v>
      </c>
      <c r="L26" s="9">
        <f>L10/D26</f>
        <v/>
      </c>
    </row>
    <row r="27" ht="20" customHeight="1">
      <c r="A27" s="6" t="inlineStr">
        <is>
          <t>LCID</t>
        </is>
      </c>
      <c r="B27" s="13" t="n">
        <v>1.1</v>
      </c>
      <c r="C27" s="7" t="n">
        <v>3000</v>
      </c>
      <c r="D27" s="14">
        <f>B27*C27</f>
        <v/>
      </c>
      <c r="E27" s="7" t="n">
        <v>-2200</v>
      </c>
      <c r="F27" s="14">
        <f>D27+E27</f>
        <v/>
      </c>
      <c r="G27" s="15">
        <f>F27/B11</f>
        <v/>
      </c>
      <c r="H27" s="17" t="inlineStr">
        <is>
          <t>N/A</t>
        </is>
      </c>
      <c r="I27" s="16" t="inlineStr">
        <is>
          <t>N/A</t>
        </is>
      </c>
      <c r="J27" s="16" t="n">
        <v>2.5</v>
      </c>
      <c r="K27" s="16" t="n">
        <v>0.4</v>
      </c>
      <c r="L27" s="9">
        <f>L11/D27</f>
        <v/>
      </c>
    </row>
    <row r="28" ht="20" customHeight="1">
      <c r="A28" s="6" t="inlineStr">
        <is>
          <t>F</t>
        </is>
      </c>
      <c r="B28" s="13" t="n">
        <v>11.5</v>
      </c>
      <c r="C28" s="7" t="n">
        <v>3995</v>
      </c>
      <c r="D28" s="14">
        <f>B28*C28</f>
        <v/>
      </c>
      <c r="E28" s="7" t="n">
        <v>99000</v>
      </c>
      <c r="F28" s="14">
        <f>D28+E28</f>
        <v/>
      </c>
      <c r="G28" s="15">
        <f>F28/B12</f>
        <v/>
      </c>
      <c r="H28" s="15">
        <f>F28/F12</f>
        <v/>
      </c>
      <c r="I28" s="16" t="inlineStr">
        <is>
          <t>N/A</t>
        </is>
      </c>
      <c r="J28" s="16" t="n">
        <v>0.25</v>
      </c>
      <c r="K28" s="16" t="n">
        <v>1.4</v>
      </c>
      <c r="L28" s="9">
        <f>L12/D28</f>
        <v/>
      </c>
    </row>
    <row r="29" ht="20" customHeight="1">
      <c r="A29" s="6" t="inlineStr">
        <is>
          <t>GM</t>
        </is>
      </c>
      <c r="B29" s="13" t="n">
        <v>75</v>
      </c>
      <c r="C29" s="7" t="n">
        <v>904</v>
      </c>
      <c r="D29" s="14">
        <f>B29*C29</f>
        <v/>
      </c>
      <c r="E29" s="7" t="n">
        <v>104000</v>
      </c>
      <c r="F29" s="14">
        <f>D29+E29</f>
        <v/>
      </c>
      <c r="G29" s="15">
        <f>F29/B13</f>
        <v/>
      </c>
      <c r="H29" s="15">
        <f>F29/F13</f>
        <v/>
      </c>
      <c r="I29" s="16" t="n">
        <v>25.1</v>
      </c>
      <c r="J29" s="16" t="n">
        <v>0.37</v>
      </c>
      <c r="K29" s="16" t="n">
        <v>1.1</v>
      </c>
      <c r="L29" s="9">
        <f>L13/D29</f>
        <v/>
      </c>
    </row>
    <row r="30" ht="20" customHeight="1"/>
    <row r="31" ht="20" customHeight="1">
      <c r="A31" s="10" t="inlineStr">
        <is>
          <t>Maximum</t>
        </is>
      </c>
      <c r="B31" s="11" t="inlineStr">
        <is>
          <t>-</t>
        </is>
      </c>
      <c r="C31" s="11" t="inlineStr">
        <is>
          <t>-</t>
        </is>
      </c>
      <c r="D31" s="11" t="inlineStr">
        <is>
          <t>-</t>
        </is>
      </c>
      <c r="E31" s="11" t="inlineStr">
        <is>
          <t>-</t>
        </is>
      </c>
      <c r="F31" s="11" t="inlineStr">
        <is>
          <t>-</t>
        </is>
      </c>
      <c r="G31" s="18">
        <f>MAX(G24:G29)</f>
        <v/>
      </c>
      <c r="H31" s="18">
        <f>MAX(H24:H29)</f>
        <v/>
      </c>
      <c r="I31" s="18">
        <f>MAX(I24:I29)</f>
        <v/>
      </c>
      <c r="J31" s="18">
        <f>MAX(J24:J29)</f>
        <v/>
      </c>
      <c r="K31" s="18">
        <f>MAX(K24:K29)</f>
        <v/>
      </c>
      <c r="L31" s="12">
        <f>MAX(L24:L29)</f>
        <v/>
      </c>
    </row>
    <row r="32" ht="20" customHeight="1">
      <c r="A32" s="10" t="inlineStr">
        <is>
          <t>75th Percentile</t>
        </is>
      </c>
      <c r="B32" s="11" t="inlineStr">
        <is>
          <t>-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8">
        <f>QUARTILE(G24:G29,3)</f>
        <v/>
      </c>
      <c r="H32" s="18">
        <f>QUARTILE(H24:H29,3)</f>
        <v/>
      </c>
      <c r="I32" s="18">
        <f>QUARTILE(I24:I29,3)</f>
        <v/>
      </c>
      <c r="J32" s="18">
        <f>QUARTILE(J24:J29,3)</f>
        <v/>
      </c>
      <c r="K32" s="18">
        <f>QUARTILE(K24:K29,3)</f>
        <v/>
      </c>
      <c r="L32" s="12">
        <f>QUARTILE(L24:L29,3)</f>
        <v/>
      </c>
    </row>
    <row r="33" ht="20" customHeight="1">
      <c r="A33" s="10" t="inlineStr">
        <is>
          <t>Median</t>
        </is>
      </c>
      <c r="B33" s="11" t="inlineStr">
        <is>
          <t>-</t>
        </is>
      </c>
      <c r="C33" s="11" t="inlineStr">
        <is>
          <t>-</t>
        </is>
      </c>
      <c r="D33" s="11" t="inlineStr">
        <is>
          <t>-</t>
        </is>
      </c>
      <c r="E33" s="11" t="inlineStr">
        <is>
          <t>-</t>
        </is>
      </c>
      <c r="F33" s="11" t="inlineStr">
        <is>
          <t>-</t>
        </is>
      </c>
      <c r="G33" s="18">
        <f>MEDIAN(G24:G29)</f>
        <v/>
      </c>
      <c r="H33" s="18">
        <f>MEDIAN(H24:H29)</f>
        <v/>
      </c>
      <c r="I33" s="18">
        <f>MEDIAN(I24:I29)</f>
        <v/>
      </c>
      <c r="J33" s="18">
        <f>MEDIAN(J24:J29)</f>
        <v/>
      </c>
      <c r="K33" s="18">
        <f>MEDIAN(K24:K29)</f>
        <v/>
      </c>
      <c r="L33" s="12">
        <f>MEDIAN(L24:L29)</f>
        <v/>
      </c>
    </row>
    <row r="34" ht="20" customHeight="1">
      <c r="A34" s="10" t="inlineStr">
        <is>
          <t>25th Percentile</t>
        </is>
      </c>
      <c r="B34" s="11" t="inlineStr">
        <is>
          <t>-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8">
        <f>QUARTILE(G24:G29,1)</f>
        <v/>
      </c>
      <c r="H34" s="18">
        <f>QUARTILE(H24:H29,1)</f>
        <v/>
      </c>
      <c r="I34" s="18">
        <f>QUARTILE(I24:I29,1)</f>
        <v/>
      </c>
      <c r="J34" s="18">
        <f>QUARTILE(J24:J29,1)</f>
        <v/>
      </c>
      <c r="K34" s="18">
        <f>QUARTILE(K24:K29,1)</f>
        <v/>
      </c>
      <c r="L34" s="12">
        <f>QUARTILE(L24:L29,1)</f>
        <v/>
      </c>
    </row>
    <row r="35" ht="20" customHeight="1">
      <c r="A35" s="10" t="inlineStr">
        <is>
          <t>Minimum</t>
        </is>
      </c>
      <c r="B35" s="11" t="inlineStr">
        <is>
          <t>-</t>
        </is>
      </c>
      <c r="C35" s="11" t="inlineStr">
        <is>
          <t>-</t>
        </is>
      </c>
      <c r="D35" s="11" t="inlineStr">
        <is>
          <t>-</t>
        </is>
      </c>
      <c r="E35" s="11" t="inlineStr">
        <is>
          <t>-</t>
        </is>
      </c>
      <c r="F35" s="11" t="inlineStr">
        <is>
          <t>-</t>
        </is>
      </c>
      <c r="G35" s="18">
        <f>MIN(G24:G29)</f>
        <v/>
      </c>
      <c r="H35" s="18">
        <f>MIN(H24:H29)</f>
        <v/>
      </c>
      <c r="I35" s="18">
        <f>MIN(I24:I29)</f>
        <v/>
      </c>
      <c r="J35" s="18">
        <f>MIN(J24:J29)</f>
        <v/>
      </c>
      <c r="K35" s="18">
        <f>MIN(K24:K29)</f>
        <v/>
      </c>
      <c r="L35" s="12">
        <f>MIN(L24:L29)</f>
        <v/>
      </c>
    </row>
    <row r="36" ht="20" customHeight="1"/>
    <row r="37" ht="20" customHeight="1">
      <c r="A37" s="4" t="inlineStr">
        <is>
          <t>NOTES &amp; METHODOLOGY</t>
        </is>
      </c>
    </row>
    <row r="38" ht="20" customHeight="1">
      <c r="A38" s="19" t="inlineStr">
        <is>
          <t>DATA: SEC 10-K/10-Q, Yahoo Finance. Prices as of March 27, 2026.</t>
        </is>
      </c>
    </row>
    <row r="39" ht="20" customHeight="1">
      <c r="A39" s="19" t="inlineStr">
        <is>
          <t>NET DEBT: Total Debt - Cash. Negative = net cash. Ford/GM include captive finance.</t>
        </is>
      </c>
    </row>
    <row r="40" ht="20" customHeight="1">
      <c r="A40" s="19" t="inlineStr">
        <is>
          <t>EV/EBITDA: N/A for negative EBITDA companies (RIVN, LCID).</t>
        </is>
      </c>
    </row>
    <row r="41" ht="20" customHeight="1"/>
  </sheetData>
  <mergeCells count="9">
    <mergeCell ref="A38:L38"/>
    <mergeCell ref="A2:L2"/>
    <mergeCell ref="A1:L1"/>
    <mergeCell ref="A5:L5"/>
    <mergeCell ref="A37:L37"/>
    <mergeCell ref="A40:L40"/>
    <mergeCell ref="A3:L3"/>
    <mergeCell ref="A21:L21"/>
    <mergeCell ref="A39:L3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2026-03-28T12:14:06Z</dcterms:created>
  <dcterms:modified xsi:type="dcterms:W3CDTF">2026-03-28T12:14:06Z</dcterms:modified>
</cp:coreProperties>
</file>